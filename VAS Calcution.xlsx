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lass\Dr Suborna Barua\Agro-logistic Project\"/>
    </mc:Choice>
  </mc:AlternateContent>
  <xr:revisionPtr revIDLastSave="0" documentId="13_ncr:1_{16BC811A-284C-45B0-95E1-8DFC65962352}" xr6:coauthVersionLast="47" xr6:coauthVersionMax="47" xr10:uidLastSave="{00000000-0000-0000-0000-000000000000}"/>
  <bookViews>
    <workbookView xWindow="-108" yWindow="-108" windowWidth="23256" windowHeight="12456" xr2:uid="{A0BEC1EE-D81C-469A-903B-CBE107D76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<sst xmlns="http://schemas.openxmlformats.org/spreadsheetml/2006/main" count="35" uniqueCount="27">
  <si>
    <t>Subsector Category</t>
  </si>
  <si>
    <t>Specific Commodity</t>
  </si>
  <si>
    <t>Cereals</t>
  </si>
  <si>
    <t>Rice</t>
  </si>
  <si>
    <t>Maize</t>
  </si>
  <si>
    <t>Wheat</t>
  </si>
  <si>
    <t>Vegetables</t>
  </si>
  <si>
    <t>Vegetables (General) (excluding Potato)</t>
  </si>
  <si>
    <t>Potato</t>
  </si>
  <si>
    <t>Fruits</t>
  </si>
  <si>
    <t>Total Fruits</t>
  </si>
  <si>
    <t>Mango</t>
  </si>
  <si>
    <t>Fisheries</t>
  </si>
  <si>
    <t>Total Fish</t>
  </si>
  <si>
    <t>Livestock</t>
  </si>
  <si>
    <t>Meat (Total) (Includes poultry meat)</t>
  </si>
  <si>
    <t>Milk</t>
  </si>
  <si>
    <t>Poultry</t>
  </si>
  <si>
    <t>Eggs (Billion Units)</t>
  </si>
  <si>
    <t>Unit</t>
  </si>
  <si>
    <t>Liter</t>
  </si>
  <si>
    <t>Dozen</t>
  </si>
  <si>
    <t>Marketable Surplus (MMT)</t>
  </si>
  <si>
    <t>Estimated VAS Cost (BDT)</t>
  </si>
  <si>
    <t>ton</t>
  </si>
  <si>
    <t>Value Added Services (VAS)
BDT Billion</t>
  </si>
  <si>
    <t>Value Added Services (VAS)
BDT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</si>
</sst>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.000_);_(* \(#,##0.0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3" fontId="0" fillId="0" borderId="1" xfId="0" applyNumberFormat="1" applyBorder="1"/>
    <xf numFmtId="168" fontId="0" fillId="0" borderId="1" xfId="1" applyNumberFormat="1" applyFont="1" applyBorder="1"/>
    <xf numFmtId="43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E75B-1810-4937-890F-FEC29FE6CE5A}">
  <dimension ref="A1:G12"/>
  <sheetViews>
    <sheetView tabSelected="1" workbookViewId="0">
      <selection activeCell="E10" sqref="E10"/>
    </sheetView>
  </sheetViews>
  <sheetFormatPr defaultRowHeight="14.4" x14ac:dyDescent="0.3"/>
  <cols>
    <col min="1" max="1" width="11.5546875" customWidth="1"/>
    <col min="2" max="2" width="16.44140625" customWidth="1"/>
    <col min="3" max="3" width="23.77734375" customWidth="1"/>
    <col min="5" max="5" width="25.21875" bestFit="1" customWidth="1"/>
    <col min="6" max="6" width="24.21875" bestFit="1" customWidth="1"/>
    <col min="7" max="7" width="23.77734375" customWidth="1"/>
  </cols>
  <sheetData>
    <row r="1" spans="1:7" ht="52.8" customHeight="1" x14ac:dyDescent="0.3">
      <c r="A1" s="1" t="s">
        <v>0</v>
      </c>
      <c r="B1" s="1" t="s">
        <v>1</v>
      </c>
      <c r="C1" s="4" t="s">
        <v>22</v>
      </c>
      <c r="D1" s="6" t="s">
        <v>19</v>
      </c>
      <c r="E1" s="7" t="s">
        <v>23</v>
      </c>
      <c r="F1" s="8" t="s">
        <v>26</v>
      </c>
      <c r="G1" s="8" t="s">
        <v>25</v>
      </c>
    </row>
    <row r="2" spans="1:7" ht="15.6" x14ac:dyDescent="0.3">
      <c r="A2" s="2" t="s">
        <v>2</v>
      </c>
      <c r="B2" s="3" t="s">
        <v>3</v>
      </c>
      <c r="C2" s="5">
        <v>5.4364499999999998</v>
      </c>
      <c r="D2" s="9" t="s">
        <v>24</v>
      </c>
      <c r="E2" s="10">
        <v>7500</v>
      </c>
      <c r="F2" s="11">
        <f>C2*E2</f>
        <v>40773.375</v>
      </c>
      <c r="G2" s="12">
        <f>F2/1000</f>
        <v>40.773375000000001</v>
      </c>
    </row>
    <row r="3" spans="1:7" ht="15.6" x14ac:dyDescent="0.3">
      <c r="A3" s="2"/>
      <c r="B3" s="3" t="s">
        <v>4</v>
      </c>
      <c r="C3" s="5">
        <v>0.59799999999999998</v>
      </c>
      <c r="D3" s="9" t="s">
        <v>24</v>
      </c>
      <c r="E3" s="10">
        <v>5000</v>
      </c>
      <c r="F3" s="11">
        <f t="shared" ref="F3:F12" si="0">C3*E3</f>
        <v>2990</v>
      </c>
      <c r="G3" s="12">
        <f t="shared" ref="G3:G12" si="1">F3/1000</f>
        <v>2.99</v>
      </c>
    </row>
    <row r="4" spans="1:7" ht="15.6" x14ac:dyDescent="0.3">
      <c r="A4" s="2"/>
      <c r="B4" s="3" t="s">
        <v>5</v>
      </c>
      <c r="C4" s="5">
        <v>0.61424999999999996</v>
      </c>
      <c r="D4" s="9" t="s">
        <v>24</v>
      </c>
      <c r="E4" s="10">
        <v>6500</v>
      </c>
      <c r="F4" s="11">
        <f t="shared" si="0"/>
        <v>3992.6249999999995</v>
      </c>
      <c r="G4" s="12">
        <f t="shared" si="1"/>
        <v>3.9926249999999994</v>
      </c>
    </row>
    <row r="5" spans="1:7" ht="50.4" customHeight="1" x14ac:dyDescent="0.3">
      <c r="A5" s="2" t="s">
        <v>6</v>
      </c>
      <c r="B5" s="3" t="s">
        <v>7</v>
      </c>
      <c r="C5" s="5">
        <v>6.3232999999999997</v>
      </c>
      <c r="D5" s="9" t="s">
        <v>24</v>
      </c>
      <c r="E5" s="10">
        <v>7000</v>
      </c>
      <c r="F5" s="11">
        <f t="shared" si="0"/>
        <v>44263.1</v>
      </c>
      <c r="G5" s="12">
        <f t="shared" si="1"/>
        <v>44.263100000000001</v>
      </c>
    </row>
    <row r="6" spans="1:7" ht="15.6" x14ac:dyDescent="0.3">
      <c r="A6" s="2"/>
      <c r="B6" s="3" t="s">
        <v>8</v>
      </c>
      <c r="C6" s="5">
        <v>3.9338000000000002</v>
      </c>
      <c r="D6" s="9" t="s">
        <v>24</v>
      </c>
      <c r="E6" s="10">
        <v>8500</v>
      </c>
      <c r="F6" s="11">
        <f t="shared" si="0"/>
        <v>33437.300000000003</v>
      </c>
      <c r="G6" s="12">
        <f t="shared" si="1"/>
        <v>33.4373</v>
      </c>
    </row>
    <row r="7" spans="1:7" ht="26.4" customHeight="1" x14ac:dyDescent="0.3">
      <c r="A7" s="2" t="s">
        <v>9</v>
      </c>
      <c r="B7" s="3" t="s">
        <v>10</v>
      </c>
      <c r="C7" s="5">
        <v>1.76</v>
      </c>
      <c r="D7" s="9" t="s">
        <v>24</v>
      </c>
      <c r="E7" s="10">
        <v>12500</v>
      </c>
      <c r="F7" s="11">
        <f t="shared" si="0"/>
        <v>22000</v>
      </c>
      <c r="G7" s="12">
        <f t="shared" si="1"/>
        <v>22</v>
      </c>
    </row>
    <row r="8" spans="1:7" ht="15.6" x14ac:dyDescent="0.3">
      <c r="A8" s="2"/>
      <c r="B8" s="3" t="s">
        <v>11</v>
      </c>
      <c r="C8" s="5">
        <v>1.2150000000000001</v>
      </c>
      <c r="D8" s="9" t="s">
        <v>24</v>
      </c>
      <c r="E8" s="10">
        <v>15000</v>
      </c>
      <c r="F8" s="11">
        <f t="shared" si="0"/>
        <v>18225</v>
      </c>
      <c r="G8" s="12">
        <f t="shared" si="1"/>
        <v>18.225000000000001</v>
      </c>
    </row>
    <row r="9" spans="1:7" ht="15.6" x14ac:dyDescent="0.3">
      <c r="A9" s="3" t="s">
        <v>12</v>
      </c>
      <c r="B9" s="3" t="s">
        <v>13</v>
      </c>
      <c r="C9" s="5">
        <v>3.2881</v>
      </c>
      <c r="D9" s="9" t="s">
        <v>24</v>
      </c>
      <c r="E9" s="10">
        <v>20000</v>
      </c>
      <c r="F9" s="11">
        <f t="shared" si="0"/>
        <v>65762</v>
      </c>
      <c r="G9" s="12">
        <f t="shared" si="1"/>
        <v>65.762</v>
      </c>
    </row>
    <row r="10" spans="1:7" ht="66" customHeight="1" x14ac:dyDescent="0.3">
      <c r="A10" s="2" t="s">
        <v>14</v>
      </c>
      <c r="B10" s="3" t="s">
        <v>15</v>
      </c>
      <c r="C10" s="5">
        <v>8.0762499999999999</v>
      </c>
      <c r="D10" s="9" t="s">
        <v>24</v>
      </c>
      <c r="E10" s="10">
        <v>50000</v>
      </c>
      <c r="F10" s="11">
        <f t="shared" si="0"/>
        <v>403812.5</v>
      </c>
      <c r="G10" s="12">
        <f t="shared" si="1"/>
        <v>403.8125</v>
      </c>
    </row>
    <row r="11" spans="1:7" ht="15.6" x14ac:dyDescent="0.3">
      <c r="A11" s="2"/>
      <c r="B11" s="3" t="s">
        <v>16</v>
      </c>
      <c r="C11" s="5">
        <v>5.7152000000000003</v>
      </c>
      <c r="D11" s="9" t="s">
        <v>20</v>
      </c>
      <c r="E11" s="10">
        <v>21000</v>
      </c>
      <c r="F11" s="11">
        <f t="shared" si="0"/>
        <v>120019.20000000001</v>
      </c>
      <c r="G11" s="12">
        <f t="shared" si="1"/>
        <v>120.01920000000001</v>
      </c>
    </row>
    <row r="12" spans="1:7" ht="39.6" customHeight="1" x14ac:dyDescent="0.3">
      <c r="A12" s="3" t="s">
        <v>17</v>
      </c>
      <c r="B12" s="3" t="s">
        <v>18</v>
      </c>
      <c r="C12" s="5">
        <v>16.03125</v>
      </c>
      <c r="D12" s="9" t="s">
        <v>21</v>
      </c>
      <c r="E12" s="10">
        <v>10000</v>
      </c>
      <c r="F12" s="11">
        <f t="shared" si="0"/>
        <v>160312.5</v>
      </c>
      <c r="G12" s="12">
        <f t="shared" si="1"/>
        <v>160.3125</v>
      </c>
    </row>
  </sheetData>
  <mergeCells count="4">
    <mergeCell ref="A2:A4"/>
    <mergeCell ref="A5:A6"/>
    <mergeCell ref="A7:A8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2026-01-16T15:28:03Z</dcterms:created>
  <dcterms:modified xsi:type="dcterms:W3CDTF">2026-01-16T16:42:46Z</dcterms:modified>
</cp:coreProperties>
</file>