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lass\Dr Suborna Barua\Agro-logistic Project\"/>
    </mc:Choice>
  </mc:AlternateContent>
  <xr:revisionPtr revIDLastSave="0" documentId="8_{0DE4922E-C5D7-4F88-AFCE-8E49AC589404}" xr6:coauthVersionLast="47" xr6:coauthVersionMax="47" xr10:uidLastSave="{00000000-0000-0000-0000-000000000000}"/>
  <bookViews>
    <workbookView xWindow="-108" yWindow="-108" windowWidth="23256" windowHeight="12456" xr2:uid="{5969532D-4CDE-42E0-A82A-3DF3DAC36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2" i="1"/>
  <c r="M4" i="1"/>
  <c r="M5" i="1"/>
  <c r="M6" i="1"/>
  <c r="M7" i="1"/>
  <c r="M8" i="1"/>
  <c r="M9" i="1"/>
  <c r="L3" i="1"/>
  <c r="L4" i="1"/>
  <c r="L5" i="1"/>
  <c r="L6" i="1"/>
  <c r="L7" i="1"/>
  <c r="L8" i="1"/>
  <c r="L9" i="1"/>
  <c r="L10" i="1"/>
  <c r="L11" i="1"/>
  <c r="L12" i="1"/>
  <c r="K3" i="1"/>
  <c r="K4" i="1"/>
  <c r="K5" i="1"/>
  <c r="K6" i="1"/>
  <c r="K7" i="1"/>
  <c r="K8" i="1"/>
  <c r="K10" i="1"/>
  <c r="K11" i="1"/>
  <c r="K12" i="1"/>
  <c r="J3" i="1"/>
  <c r="J4" i="1"/>
  <c r="J5" i="1"/>
  <c r="J6" i="1"/>
  <c r="J7" i="1"/>
  <c r="J8" i="1"/>
  <c r="J9" i="1"/>
  <c r="J10" i="1"/>
  <c r="J11" i="1"/>
  <c r="J12" i="1"/>
  <c r="I3" i="1"/>
  <c r="I4" i="1"/>
  <c r="I5" i="1"/>
  <c r="I6" i="1"/>
  <c r="I7" i="1"/>
  <c r="I8" i="1"/>
  <c r="I9" i="1"/>
  <c r="I10" i="1"/>
  <c r="I11" i="1"/>
  <c r="I1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<sst xmlns="http://schemas.openxmlformats.org/spreadsheetml/2006/main" count="36" uniqueCount="32">
  <si>
    <t>Subsector Category</t>
  </si>
  <si>
    <t>Specific Commodity</t>
  </si>
  <si>
    <t>Cereals</t>
  </si>
  <si>
    <t>Rice</t>
  </si>
  <si>
    <t>Maize</t>
  </si>
  <si>
    <t>Wheat</t>
  </si>
  <si>
    <t>Vegetables</t>
  </si>
  <si>
    <t>Potato</t>
  </si>
  <si>
    <t>Fruits</t>
  </si>
  <si>
    <t>Total Fruits</t>
  </si>
  <si>
    <t>Mango</t>
  </si>
  <si>
    <t>Fisheries</t>
  </si>
  <si>
    <t>Total Fish</t>
  </si>
  <si>
    <t>Livestock</t>
  </si>
  <si>
    <t>Milk</t>
  </si>
  <si>
    <t>Poultry</t>
  </si>
  <si>
    <r>
      <t>Annual Production Amount (Million Metric Tons / Units) (</t>
    </r>
    <r>
      <rPr>
        <b/>
        <i/>
        <sz val="10"/>
        <color theme="1"/>
        <rFont val="Arial"/>
        <family val="2"/>
      </rPr>
      <t>V</t>
    </r>
    <r>
      <rPr>
        <b/>
        <i/>
        <vertAlign val="subscript"/>
        <sz val="10"/>
        <color theme="1"/>
        <rFont val="Arial"/>
        <family val="2"/>
      </rPr>
      <t>i</t>
    </r>
    <r>
      <rPr>
        <b/>
        <i/>
        <sz val="10"/>
        <color theme="1"/>
        <rFont val="Arial"/>
        <family val="2"/>
      </rPr>
      <t>)</t>
    </r>
  </si>
  <si>
    <t>Vegetables (General) (excluding Potato)</t>
  </si>
  <si>
    <t>Meat (Total) (Includes poultry meat)</t>
  </si>
  <si>
    <t>Eggs (Billion Units)</t>
  </si>
  <si>
    <t>Negligible</t>
  </si>
  <si>
    <r>
      <t>C</t>
    </r>
    <r>
      <rPr>
        <b/>
        <i/>
        <vertAlign val="subscript"/>
        <sz val="10"/>
        <color theme="1"/>
        <rFont val="Arial"/>
        <family val="2"/>
      </rPr>
      <t>f</t>
    </r>
    <r>
      <rPr>
        <b/>
        <i/>
        <sz val="10"/>
        <color theme="1"/>
        <rFont val="Arial"/>
        <family val="2"/>
      </rPr>
      <t xml:space="preserve"> (%)</t>
    </r>
  </si>
  <si>
    <r>
      <t>S</t>
    </r>
    <r>
      <rPr>
        <b/>
        <i/>
        <vertAlign val="subscript"/>
        <sz val="10"/>
        <color theme="1"/>
        <rFont val="Arial"/>
        <family val="2"/>
      </rPr>
      <t>r</t>
    </r>
    <r>
      <rPr>
        <b/>
        <i/>
        <sz val="10"/>
        <color theme="1"/>
        <rFont val="Arial"/>
        <family val="2"/>
      </rPr>
      <t xml:space="preserve"> (%)</t>
    </r>
  </si>
  <si>
    <r>
      <t>F</t>
    </r>
    <r>
      <rPr>
        <b/>
        <i/>
        <vertAlign val="subscript"/>
        <sz val="10"/>
        <color theme="1"/>
        <rFont val="Arial"/>
        <family val="2"/>
      </rPr>
      <t>a</t>
    </r>
    <r>
      <rPr>
        <b/>
        <i/>
        <sz val="10"/>
        <color theme="1"/>
        <rFont val="Arial"/>
        <family val="2"/>
      </rPr>
      <t xml:space="preserve"> (%)</t>
    </r>
  </si>
  <si>
    <r>
      <t>W</t>
    </r>
    <r>
      <rPr>
        <b/>
        <i/>
        <vertAlign val="subscript"/>
        <sz val="10"/>
        <color theme="1"/>
        <rFont val="Arial"/>
        <family val="2"/>
      </rPr>
      <t>p</t>
    </r>
    <r>
      <rPr>
        <b/>
        <i/>
        <sz val="10"/>
        <color theme="1"/>
        <rFont val="Arial"/>
        <family val="2"/>
      </rPr>
      <t xml:space="preserve"> (%)</t>
    </r>
  </si>
  <si>
    <t>K (%)</t>
  </si>
  <si>
    <r>
      <t>C</t>
    </r>
    <r>
      <rPr>
        <b/>
        <i/>
        <vertAlign val="subscript"/>
        <sz val="10"/>
        <color theme="1"/>
        <rFont val="Arial"/>
        <family val="2"/>
      </rPr>
      <t>f</t>
    </r>
    <r>
      <rPr>
        <b/>
        <i/>
        <sz val="10"/>
        <color theme="1"/>
        <rFont val="Arial"/>
        <family val="2"/>
      </rPr>
      <t xml:space="preserve"> (MMT)</t>
    </r>
  </si>
  <si>
    <r>
      <t>S</t>
    </r>
    <r>
      <rPr>
        <b/>
        <i/>
        <vertAlign val="subscript"/>
        <sz val="10"/>
        <color theme="1"/>
        <rFont val="Arial"/>
        <family val="2"/>
      </rPr>
      <t>r</t>
    </r>
    <r>
      <rPr>
        <b/>
        <i/>
        <sz val="10"/>
        <color theme="1"/>
        <rFont val="Arial"/>
        <family val="2"/>
      </rPr>
      <t xml:space="preserve"> (MMT)</t>
    </r>
  </si>
  <si>
    <r>
      <t>F</t>
    </r>
    <r>
      <rPr>
        <b/>
        <i/>
        <vertAlign val="subscript"/>
        <sz val="10"/>
        <color theme="1"/>
        <rFont val="Arial"/>
        <family val="2"/>
      </rPr>
      <t>a</t>
    </r>
    <r>
      <rPr>
        <b/>
        <i/>
        <sz val="10"/>
        <color theme="1"/>
        <rFont val="Arial"/>
        <family val="2"/>
      </rPr>
      <t xml:space="preserve"> (MMT)</t>
    </r>
  </si>
  <si>
    <r>
      <t>W</t>
    </r>
    <r>
      <rPr>
        <b/>
        <i/>
        <vertAlign val="subscript"/>
        <sz val="10"/>
        <color theme="1"/>
        <rFont val="Arial"/>
        <family val="2"/>
      </rPr>
      <t>p</t>
    </r>
    <r>
      <rPr>
        <b/>
        <i/>
        <sz val="10"/>
        <color theme="1"/>
        <rFont val="Arial"/>
        <family val="2"/>
      </rPr>
      <t xml:space="preserve"> (MMT)</t>
    </r>
  </si>
  <si>
    <t>K (MMT)</t>
  </si>
  <si>
    <t>Marketable Surplus (MMT)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</si>
</sst>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b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vertical="center" wrapText="1"/>
    </xf>
    <xf numFmtId="0" fontId="4" fillId="0" borderId="1" xfId="1" applyNumberFormat="1" applyFont="1" applyFill="1" applyBorder="1" applyAlignment="1">
      <alignment vertical="center"/>
    </xf>
    <xf numFmtId="0" fontId="0" fillId="0" borderId="1" xfId="0" applyBorder="1"/>
    <xf numFmtId="0" fontId="0" fillId="0" borderId="1" xfId="0" applyNumberFormat="1" applyBorder="1"/>
    <xf numFmtId="9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FFA4-1208-44A4-A705-D6137E24FFD7}">
  <dimension ref="A1:N12"/>
  <sheetViews>
    <sheetView tabSelected="1" workbookViewId="0">
      <selection activeCell="B16" sqref="B16"/>
    </sheetView>
  </sheetViews>
  <sheetFormatPr defaultRowHeight="14.4" x14ac:dyDescent="0.3"/>
  <cols>
    <col min="1" max="1" width="16.21875" customWidth="1"/>
    <col min="2" max="2" width="19.33203125" customWidth="1"/>
    <col min="3" max="3" width="21.5546875" customWidth="1"/>
    <col min="5" max="5" width="11.33203125" customWidth="1"/>
    <col min="7" max="7" width="11.5546875" customWidth="1"/>
    <col min="9" max="10" width="10.77734375" customWidth="1"/>
    <col min="11" max="11" width="11.21875" customWidth="1"/>
    <col min="12" max="12" width="12" customWidth="1"/>
    <col min="14" max="14" width="22.88671875" bestFit="1" customWidth="1"/>
  </cols>
  <sheetData>
    <row r="1" spans="1:14" ht="53.4" customHeight="1" x14ac:dyDescent="0.3">
      <c r="A1" s="1" t="s">
        <v>0</v>
      </c>
      <c r="B1" s="1" t="s">
        <v>1</v>
      </c>
      <c r="C1" s="1" t="s">
        <v>16</v>
      </c>
      <c r="D1" s="2" t="s">
        <v>21</v>
      </c>
      <c r="E1" s="2" t="s">
        <v>22</v>
      </c>
      <c r="F1" s="2" t="s">
        <v>23</v>
      </c>
      <c r="G1" s="2" t="s">
        <v>24</v>
      </c>
      <c r="H1" s="3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3" t="s">
        <v>30</v>
      </c>
      <c r="N1" s="4" t="s">
        <v>31</v>
      </c>
    </row>
    <row r="2" spans="1:14" x14ac:dyDescent="0.3">
      <c r="A2" s="5" t="s">
        <v>2</v>
      </c>
      <c r="B2" s="6" t="s">
        <v>3</v>
      </c>
      <c r="C2" s="7">
        <v>40.270000000000003</v>
      </c>
      <c r="D2" s="8">
        <v>0.5</v>
      </c>
      <c r="E2" s="8">
        <v>0.06</v>
      </c>
      <c r="F2" s="8">
        <v>0.1</v>
      </c>
      <c r="G2" s="8">
        <v>0.13</v>
      </c>
      <c r="H2" s="8">
        <v>7.4999999999999997E-2</v>
      </c>
      <c r="I2" s="9">
        <f>C2*D2</f>
        <v>20.135000000000002</v>
      </c>
      <c r="J2" s="10">
        <f>C2*E2</f>
        <v>2.4161999999999999</v>
      </c>
      <c r="K2" s="10">
        <f>C2*F2</f>
        <v>4.0270000000000001</v>
      </c>
      <c r="L2" s="10">
        <f>C2*G2</f>
        <v>5.235100000000001</v>
      </c>
      <c r="M2" s="10">
        <f>C2*H2</f>
        <v>3.0202500000000003</v>
      </c>
      <c r="N2" s="11">
        <f>C2-SUM(I2:M2)</f>
        <v>5.4364500000000007</v>
      </c>
    </row>
    <row r="3" spans="1:14" x14ac:dyDescent="0.3">
      <c r="A3" s="5"/>
      <c r="B3" s="6" t="s">
        <v>4</v>
      </c>
      <c r="C3" s="7">
        <v>5.2</v>
      </c>
      <c r="D3" s="8">
        <v>3.5000000000000003E-2</v>
      </c>
      <c r="E3" s="8">
        <v>0.01</v>
      </c>
      <c r="F3" s="8">
        <v>0.75</v>
      </c>
      <c r="G3" s="8">
        <v>0.09</v>
      </c>
      <c r="H3" s="6" t="s">
        <v>20</v>
      </c>
      <c r="I3" s="9">
        <f t="shared" ref="I3:I12" si="0">C3*D3</f>
        <v>0.18200000000000002</v>
      </c>
      <c r="J3" s="10">
        <f t="shared" ref="J3:J12" si="1">C3*E3</f>
        <v>5.2000000000000005E-2</v>
      </c>
      <c r="K3" s="10">
        <f t="shared" ref="K3:K12" si="2">C3*F3</f>
        <v>3.9000000000000004</v>
      </c>
      <c r="L3" s="10">
        <f t="shared" ref="L3:L12" si="3">C3*G3</f>
        <v>0.46799999999999997</v>
      </c>
      <c r="M3" s="6">
        <v>0</v>
      </c>
      <c r="N3" s="11">
        <f t="shared" ref="N3:N12" si="4">C3-SUM(I3:M3)</f>
        <v>0.59799999999999986</v>
      </c>
    </row>
    <row r="4" spans="1:14" x14ac:dyDescent="0.3">
      <c r="A4" s="5"/>
      <c r="B4" s="6" t="s">
        <v>5</v>
      </c>
      <c r="C4" s="7">
        <v>1.17</v>
      </c>
      <c r="D4" s="8">
        <v>0.17499999999999999</v>
      </c>
      <c r="E4" s="8">
        <v>0.09</v>
      </c>
      <c r="F4" s="8">
        <v>7.4999999999999997E-2</v>
      </c>
      <c r="G4" s="8">
        <v>0.11</v>
      </c>
      <c r="H4" s="8">
        <v>2.5000000000000001E-2</v>
      </c>
      <c r="I4" s="9">
        <f t="shared" si="0"/>
        <v>0.20474999999999999</v>
      </c>
      <c r="J4" s="10">
        <f t="shared" si="1"/>
        <v>0.10529999999999999</v>
      </c>
      <c r="K4" s="10">
        <f t="shared" si="2"/>
        <v>8.7749999999999995E-2</v>
      </c>
      <c r="L4" s="10">
        <f t="shared" si="3"/>
        <v>0.12869999999999998</v>
      </c>
      <c r="M4" s="10">
        <f t="shared" ref="M3:M12" si="5">C4*H4</f>
        <v>2.9249999999999998E-2</v>
      </c>
      <c r="N4" s="11">
        <f t="shared" si="4"/>
        <v>0.61424999999999996</v>
      </c>
    </row>
    <row r="5" spans="1:14" ht="40.200000000000003" customHeight="1" x14ac:dyDescent="0.3">
      <c r="A5" s="5" t="s">
        <v>6</v>
      </c>
      <c r="B5" s="6" t="s">
        <v>17</v>
      </c>
      <c r="C5" s="7">
        <v>17.09</v>
      </c>
      <c r="D5" s="8">
        <v>0.25</v>
      </c>
      <c r="E5" s="8">
        <v>1.4999999999999999E-2</v>
      </c>
      <c r="F5" s="8">
        <v>0.05</v>
      </c>
      <c r="G5" s="8">
        <v>0.3</v>
      </c>
      <c r="H5" s="8">
        <v>1.4999999999999999E-2</v>
      </c>
      <c r="I5" s="9">
        <f t="shared" si="0"/>
        <v>4.2725</v>
      </c>
      <c r="J5" s="10">
        <f t="shared" si="1"/>
        <v>0.25634999999999997</v>
      </c>
      <c r="K5" s="10">
        <f t="shared" si="2"/>
        <v>0.85450000000000004</v>
      </c>
      <c r="L5" s="10">
        <f t="shared" si="3"/>
        <v>5.1269999999999998</v>
      </c>
      <c r="M5" s="10">
        <f t="shared" si="5"/>
        <v>0.25634999999999997</v>
      </c>
      <c r="N5" s="11">
        <f t="shared" si="4"/>
        <v>6.3233000000000015</v>
      </c>
    </row>
    <row r="6" spans="1:14" x14ac:dyDescent="0.3">
      <c r="A6" s="5"/>
      <c r="B6" s="6" t="s">
        <v>7</v>
      </c>
      <c r="C6" s="7">
        <v>11.57</v>
      </c>
      <c r="D6" s="8">
        <v>0.125</v>
      </c>
      <c r="E6" s="8">
        <v>0.22500000000000001</v>
      </c>
      <c r="F6" s="8">
        <v>0.03</v>
      </c>
      <c r="G6" s="8">
        <v>0.25</v>
      </c>
      <c r="H6" s="8">
        <v>0.03</v>
      </c>
      <c r="I6" s="9">
        <f t="shared" si="0"/>
        <v>1.44625</v>
      </c>
      <c r="J6" s="10">
        <f t="shared" si="1"/>
        <v>2.6032500000000001</v>
      </c>
      <c r="K6" s="10">
        <f t="shared" si="2"/>
        <v>0.34710000000000002</v>
      </c>
      <c r="L6" s="10">
        <f t="shared" si="3"/>
        <v>2.8925000000000001</v>
      </c>
      <c r="M6" s="10">
        <f t="shared" si="5"/>
        <v>0.34710000000000002</v>
      </c>
      <c r="N6" s="11">
        <f t="shared" si="4"/>
        <v>3.9337999999999997</v>
      </c>
    </row>
    <row r="7" spans="1:14" ht="27" customHeight="1" x14ac:dyDescent="0.3">
      <c r="A7" s="5" t="s">
        <v>8</v>
      </c>
      <c r="B7" s="6" t="s">
        <v>9</v>
      </c>
      <c r="C7" s="7">
        <v>5.5</v>
      </c>
      <c r="D7" s="8">
        <v>0.3</v>
      </c>
      <c r="E7" s="7"/>
      <c r="F7" s="8">
        <v>0.05</v>
      </c>
      <c r="G7" s="12">
        <v>0.3</v>
      </c>
      <c r="H7" s="8">
        <v>0.03</v>
      </c>
      <c r="I7" s="9">
        <f t="shared" si="0"/>
        <v>1.65</v>
      </c>
      <c r="J7" s="10">
        <f t="shared" si="1"/>
        <v>0</v>
      </c>
      <c r="K7" s="10">
        <f t="shared" si="2"/>
        <v>0.27500000000000002</v>
      </c>
      <c r="L7" s="10">
        <f t="shared" si="3"/>
        <v>1.65</v>
      </c>
      <c r="M7" s="10">
        <f t="shared" si="5"/>
        <v>0.16499999999999998</v>
      </c>
      <c r="N7" s="11">
        <f t="shared" si="4"/>
        <v>1.7600000000000002</v>
      </c>
    </row>
    <row r="8" spans="1:14" x14ac:dyDescent="0.3">
      <c r="A8" s="5"/>
      <c r="B8" s="6" t="s">
        <v>10</v>
      </c>
      <c r="C8" s="7">
        <v>3</v>
      </c>
      <c r="D8" s="8">
        <v>0.17499999999999999</v>
      </c>
      <c r="E8" s="7"/>
      <c r="F8" s="8">
        <v>0.02</v>
      </c>
      <c r="G8" s="8">
        <v>0.35</v>
      </c>
      <c r="H8" s="8">
        <v>0.05</v>
      </c>
      <c r="I8" s="9">
        <f t="shared" si="0"/>
        <v>0.52499999999999991</v>
      </c>
      <c r="J8" s="10">
        <f t="shared" si="1"/>
        <v>0</v>
      </c>
      <c r="K8" s="10">
        <f t="shared" si="2"/>
        <v>0.06</v>
      </c>
      <c r="L8" s="10">
        <f t="shared" si="3"/>
        <v>1.0499999999999998</v>
      </c>
      <c r="M8" s="10">
        <f t="shared" si="5"/>
        <v>0.15000000000000002</v>
      </c>
      <c r="N8" s="11">
        <f t="shared" si="4"/>
        <v>1.2150000000000003</v>
      </c>
    </row>
    <row r="9" spans="1:14" x14ac:dyDescent="0.3">
      <c r="A9" s="6" t="s">
        <v>11</v>
      </c>
      <c r="B9" s="6" t="s">
        <v>12</v>
      </c>
      <c r="C9" s="7">
        <v>5.0199999999999996</v>
      </c>
      <c r="D9" s="8">
        <v>0.125</v>
      </c>
      <c r="E9" s="8">
        <v>0.02</v>
      </c>
      <c r="F9" s="6" t="s">
        <v>20</v>
      </c>
      <c r="G9" s="8">
        <v>0.185</v>
      </c>
      <c r="H9" s="8">
        <v>1.4999999999999999E-2</v>
      </c>
      <c r="I9" s="9">
        <f t="shared" si="0"/>
        <v>0.62749999999999995</v>
      </c>
      <c r="J9" s="10">
        <f t="shared" si="1"/>
        <v>0.10039999999999999</v>
      </c>
      <c r="K9" s="10">
        <v>0</v>
      </c>
      <c r="L9" s="10">
        <f t="shared" si="3"/>
        <v>0.92869999999999986</v>
      </c>
      <c r="M9" s="10">
        <f t="shared" si="5"/>
        <v>7.5299999999999992E-2</v>
      </c>
      <c r="N9" s="11">
        <f t="shared" si="4"/>
        <v>3.2881</v>
      </c>
    </row>
    <row r="10" spans="1:14" ht="42.6" customHeight="1" x14ac:dyDescent="0.3">
      <c r="A10" s="5" t="s">
        <v>13</v>
      </c>
      <c r="B10" s="6" t="s">
        <v>18</v>
      </c>
      <c r="C10" s="7">
        <v>9.23</v>
      </c>
      <c r="D10" s="8">
        <v>7.4999999999999997E-2</v>
      </c>
      <c r="E10" s="7"/>
      <c r="F10" s="7"/>
      <c r="G10" s="8">
        <v>0.05</v>
      </c>
      <c r="H10" s="6" t="s">
        <v>20</v>
      </c>
      <c r="I10" s="9">
        <f t="shared" si="0"/>
        <v>0.69225000000000003</v>
      </c>
      <c r="J10" s="10">
        <f t="shared" si="1"/>
        <v>0</v>
      </c>
      <c r="K10" s="10">
        <f t="shared" si="2"/>
        <v>0</v>
      </c>
      <c r="L10" s="10">
        <f t="shared" si="3"/>
        <v>0.46150000000000002</v>
      </c>
      <c r="M10" s="6">
        <v>0</v>
      </c>
      <c r="N10" s="11">
        <f t="shared" si="4"/>
        <v>8.0762499999999999</v>
      </c>
    </row>
    <row r="11" spans="1:14" x14ac:dyDescent="0.3">
      <c r="A11" s="5"/>
      <c r="B11" s="6" t="s">
        <v>14</v>
      </c>
      <c r="C11" s="7">
        <v>15.04</v>
      </c>
      <c r="D11" s="8">
        <v>0.35</v>
      </c>
      <c r="E11" s="7"/>
      <c r="F11" s="8">
        <v>0.15</v>
      </c>
      <c r="G11" s="8">
        <v>0.12</v>
      </c>
      <c r="H11" s="6" t="s">
        <v>20</v>
      </c>
      <c r="I11" s="9">
        <f t="shared" si="0"/>
        <v>5.2639999999999993</v>
      </c>
      <c r="J11" s="10">
        <f t="shared" si="1"/>
        <v>0</v>
      </c>
      <c r="K11" s="10">
        <f t="shared" si="2"/>
        <v>2.2559999999999998</v>
      </c>
      <c r="L11" s="10">
        <f t="shared" si="3"/>
        <v>1.8047999999999997</v>
      </c>
      <c r="M11" s="6">
        <v>0</v>
      </c>
      <c r="N11" s="11">
        <f t="shared" si="4"/>
        <v>5.7151999999999994</v>
      </c>
    </row>
    <row r="12" spans="1:14" x14ac:dyDescent="0.3">
      <c r="A12" s="6" t="s">
        <v>15</v>
      </c>
      <c r="B12" s="6" t="s">
        <v>19</v>
      </c>
      <c r="C12" s="7">
        <v>23.75</v>
      </c>
      <c r="D12" s="8">
        <v>0.2</v>
      </c>
      <c r="E12" s="7"/>
      <c r="F12" s="7"/>
      <c r="G12" s="8">
        <v>0.125</v>
      </c>
      <c r="H12" s="6" t="s">
        <v>20</v>
      </c>
      <c r="I12" s="9">
        <f t="shared" si="0"/>
        <v>4.75</v>
      </c>
      <c r="J12" s="10">
        <f t="shared" si="1"/>
        <v>0</v>
      </c>
      <c r="K12" s="10">
        <f t="shared" si="2"/>
        <v>0</v>
      </c>
      <c r="L12" s="10">
        <f t="shared" si="3"/>
        <v>2.96875</v>
      </c>
      <c r="M12" s="6">
        <v>0</v>
      </c>
      <c r="N12" s="11">
        <f t="shared" si="4"/>
        <v>16.03125</v>
      </c>
    </row>
  </sheetData>
  <mergeCells count="4">
    <mergeCell ref="A2:A4"/>
    <mergeCell ref="A5:A6"/>
    <mergeCell ref="A7:A8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2026-01-16T10:10:39Z</dcterms:created>
  <dcterms:modified xsi:type="dcterms:W3CDTF">2026-01-16T11:29:01Z</dcterms:modified>
</cp:coreProperties>
</file>